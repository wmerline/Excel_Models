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388f327fcd5923a/Desktop/Excel Files/VBA/"/>
    </mc:Choice>
  </mc:AlternateContent>
  <xr:revisionPtr revIDLastSave="835" documentId="8_{B44AE53D-35E6-4928-9506-67477F0A9F54}" xr6:coauthVersionLast="47" xr6:coauthVersionMax="47" xr10:uidLastSave="{FFE8E898-8423-472E-A4A9-2FAAE81BADFE}"/>
  <bookViews>
    <workbookView xWindow="20370" yWindow="-4680" windowWidth="29040" windowHeight="15720" activeTab="1" xr2:uid="{71B88B71-FA60-49F7-9781-121BA8C61437}"/>
  </bookViews>
  <sheets>
    <sheet name="Cover" sheetId="5" r:id="rId1"/>
    <sheet name="Dashboard" sheetId="1" r:id="rId2"/>
    <sheet name="Report" sheetId="2" r:id="rId3"/>
    <sheet name="Data" sheetId="3" r:id="rId4"/>
    <sheet name="LR_LC" sheetId="4" r:id="rId5"/>
  </sheets>
  <definedNames>
    <definedName name="npvChart">"Chart 4"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5" l="1"/>
  <c r="C6" i="5" s="1"/>
  <c r="C7" i="5" s="1"/>
  <c r="G4" i="4"/>
  <c r="G3" i="4"/>
  <c r="G2" i="4"/>
  <c r="F7" i="1" l="1"/>
  <c r="F6" i="1"/>
  <c r="F5" i="1"/>
  <c r="F4" i="1"/>
  <c r="F3" i="1"/>
  <c r="D12" i="3" l="1"/>
  <c r="C12" i="3"/>
  <c r="G7" i="3"/>
  <c r="G6" i="3"/>
  <c r="G5" i="3"/>
  <c r="C5" i="3"/>
  <c r="G4" i="3"/>
  <c r="G3" i="3"/>
  <c r="G2" i="3"/>
</calcChain>
</file>

<file path=xl/sharedStrings.xml><?xml version="1.0" encoding="utf-8"?>
<sst xmlns="http://schemas.openxmlformats.org/spreadsheetml/2006/main" count="63" uniqueCount="37">
  <si>
    <t>Project</t>
  </si>
  <si>
    <t>Requested Budget</t>
  </si>
  <si>
    <t>Projected NPV</t>
  </si>
  <si>
    <t>Projected IRR</t>
  </si>
  <si>
    <t>Start Date</t>
  </si>
  <si>
    <t>End Date</t>
  </si>
  <si>
    <t>Timeline</t>
  </si>
  <si>
    <t>Project - A</t>
  </si>
  <si>
    <t>Project - B</t>
  </si>
  <si>
    <t>Project - C</t>
  </si>
  <si>
    <t>Project - X</t>
  </si>
  <si>
    <t>Project - Y</t>
  </si>
  <si>
    <t>Project - Z</t>
  </si>
  <si>
    <t>Project - T</t>
  </si>
  <si>
    <t>Project - H</t>
  </si>
  <si>
    <t>Project - J</t>
  </si>
  <si>
    <t>Project - K</t>
  </si>
  <si>
    <t>Project - L</t>
  </si>
  <si>
    <t>Project - E</t>
  </si>
  <si>
    <t>Project - V</t>
  </si>
  <si>
    <t>Project - TT</t>
  </si>
  <si>
    <t>Project - YY</t>
  </si>
  <si>
    <t>Number of Projects</t>
  </si>
  <si>
    <t>Total Requested Budget</t>
  </si>
  <si>
    <t>Total Projected NPV</t>
  </si>
  <si>
    <t>Average NPV</t>
  </si>
  <si>
    <t>Average IRR</t>
  </si>
  <si>
    <t>Author:</t>
  </si>
  <si>
    <t>Will Merline</t>
  </si>
  <si>
    <t>Last Updated:</t>
  </si>
  <si>
    <t>Use Case:</t>
  </si>
  <si>
    <t>Quickly generate bar charts and a report for potential projects or investments based on a minimum NPV or IRR metric</t>
  </si>
  <si>
    <t>Instructions:</t>
  </si>
  <si>
    <r>
      <t>Input project / investment data into the '</t>
    </r>
    <r>
      <rPr>
        <b/>
        <sz val="11"/>
        <color theme="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>' tab</t>
    </r>
  </si>
  <si>
    <r>
      <t>On the '</t>
    </r>
    <r>
      <rPr>
        <b/>
        <sz val="11"/>
        <color theme="1"/>
        <rFont val="Calibri"/>
        <family val="2"/>
        <scheme val="minor"/>
      </rPr>
      <t>Dashboard</t>
    </r>
    <r>
      <rPr>
        <sz val="11"/>
        <color theme="1"/>
        <rFont val="Calibri"/>
        <family val="2"/>
        <scheme val="minor"/>
      </rPr>
      <t>' tab, click on "Screen by NPV/IRR" button(s); input minimum required NPV/IRR. The default value is the average NPV/IRR of all projects in the '</t>
    </r>
    <r>
      <rPr>
        <b/>
        <sz val="11"/>
        <color theme="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>' tab</t>
    </r>
  </si>
  <si>
    <t>Click "Set Chart area" button to reformat the updated bar charts</t>
  </si>
  <si>
    <t>Navigate to the 'Report' tab to view a tabular output of the project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</si>
</sst>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0.00,,&quot;M&quot;;[Red]\-&quot;$&quot;0.00,,&quot;M&quot;;;@"/>
    <numFmt numFmtId="165" formatCode="0.00\ &quot;months&quot;"/>
    <numFmt numFmtId="166" formatCode="_(&quot;$&quot;0.00,,&quot;M&quot;_);\(&quot;$&quot;0.00,,&quot;M&quot;\);;@"/>
    <numFmt numFmtId="167" formatCode="0.0%"/>
    <numFmt numFmtId="168" formatCode="#,##0.00,,&quot;M&quot;;#,##0.00,,&quot;M&quot;"/>
    <numFmt numFmtId="169" formatCode="0&quot;.&quot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0" fillId="4" borderId="0" xfId="0" applyFill="1"/>
    <xf numFmtId="164" fontId="0" fillId="4" borderId="0" xfId="0" applyNumberFormat="1" applyFill="1"/>
    <xf numFmtId="10" fontId="1" fillId="4" borderId="0" xfId="0" applyNumberFormat="1" applyFont="1" applyFill="1"/>
    <xf numFmtId="14" fontId="0" fillId="4" borderId="0" xfId="0" applyNumberFormat="1" applyFill="1"/>
    <xf numFmtId="165" fontId="0" fillId="4" borderId="0" xfId="0" applyNumberFormat="1" applyFill="1"/>
    <xf numFmtId="0" fontId="1" fillId="5" borderId="1" xfId="0" applyFont="1" applyFill="1" applyBorder="1" applyAlignment="1">
      <alignment horizontal="center"/>
    </xf>
    <xf numFmtId="166" fontId="0" fillId="2" borderId="0" xfId="0" applyNumberFormat="1" applyFill="1"/>
    <xf numFmtId="167" fontId="0" fillId="2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8" fontId="0" fillId="2" borderId="0" xfId="0" applyNumberFormat="1" applyFill="1"/>
    <xf numFmtId="10" fontId="0" fillId="4" borderId="0" xfId="0" applyNumberFormat="1" applyFill="1"/>
    <xf numFmtId="164" fontId="1" fillId="4" borderId="0" xfId="0" applyNumberFormat="1" applyFont="1" applyFill="1"/>
    <xf numFmtId="0" fontId="1" fillId="6" borderId="2" xfId="0" applyFont="1" applyFill="1" applyBorder="1"/>
    <xf numFmtId="0" fontId="1" fillId="6" borderId="3" xfId="0" applyFont="1" applyFill="1" applyBorder="1"/>
    <xf numFmtId="0" fontId="1" fillId="6" borderId="4" xfId="0" applyFont="1" applyFill="1" applyBorder="1"/>
    <xf numFmtId="164" fontId="1" fillId="6" borderId="5" xfId="0" applyNumberFormat="1" applyFont="1" applyFill="1" applyBorder="1"/>
    <xf numFmtId="10" fontId="1" fillId="6" borderId="4" xfId="0" applyNumberFormat="1" applyFont="1" applyFill="1" applyBorder="1"/>
    <xf numFmtId="0" fontId="1" fillId="6" borderId="6" xfId="0" applyFont="1" applyFill="1" applyBorder="1"/>
    <xf numFmtId="10" fontId="1" fillId="6" borderId="7" xfId="1" applyNumberFormat="1" applyFont="1" applyFill="1" applyBorder="1"/>
    <xf numFmtId="166" fontId="0" fillId="0" borderId="0" xfId="0" applyNumberFormat="1"/>
    <xf numFmtId="167" fontId="0" fillId="0" borderId="0" xfId="0" applyNumberFormat="1"/>
    <xf numFmtId="14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/>
    <xf numFmtId="166" fontId="1" fillId="0" borderId="0" xfId="0" applyNumberFormat="1" applyFont="1"/>
    <xf numFmtId="167" fontId="1" fillId="0" borderId="0" xfId="0" applyNumberFormat="1" applyFont="1"/>
    <xf numFmtId="14" fontId="1" fillId="0" borderId="0" xfId="0" applyNumberFormat="1" applyFont="1"/>
    <xf numFmtId="165" fontId="1" fillId="0" borderId="0" xfId="0" applyNumberFormat="1" applyFont="1"/>
    <xf numFmtId="0" fontId="0" fillId="0" borderId="0" xfId="0" quotePrefix="1"/>
    <xf numFmtId="169" fontId="0" fillId="0" borderId="0" xfId="0" quotePrefix="1" applyNumberFormat="1" applyAlignment="1">
      <alignment horizontal="center"/>
    </xf>
    <xf numFmtId="169" fontId="0" fillId="0" borderId="0" xfId="0" applyNumberFormat="1"/>
    <xf numFmtId="15" fontId="4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F"/>
      <color rgb="FFF09797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571543167777687E-2"/>
          <c:y val="0.15547480620155041"/>
          <c:w val="0.88604224122028497"/>
          <c:h val="0.568079335286577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Report!$C$1</c:f>
              <c:strCache>
                <c:ptCount val="1"/>
                <c:pt idx="0">
                  <c:v>Projected NPV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Report!$A$2:$A$9</c:f>
              <c:strCache>
                <c:ptCount val="8"/>
                <c:pt idx="0">
                  <c:v>Project - J</c:v>
                </c:pt>
                <c:pt idx="1">
                  <c:v>Project - E</c:v>
                </c:pt>
                <c:pt idx="2">
                  <c:v>Project - V</c:v>
                </c:pt>
                <c:pt idx="3">
                  <c:v>Project - K</c:v>
                </c:pt>
                <c:pt idx="4">
                  <c:v>Project - Z</c:v>
                </c:pt>
                <c:pt idx="5">
                  <c:v>Project - A</c:v>
                </c:pt>
                <c:pt idx="6">
                  <c:v>Project - H</c:v>
                </c:pt>
                <c:pt idx="7">
                  <c:v>Project - YY</c:v>
                </c:pt>
              </c:strCache>
            </c:strRef>
          </c:cat>
          <c:val>
            <c:numRef>
              <c:f>Report!$C$2:$C$9</c:f>
              <c:numCache>
                <c:formatCode>"$"0.00,,"M";[Red]\-"$"0.00,,"M";;@</c:formatCode>
                <c:ptCount val="8"/>
                <c:pt idx="0">
                  <c:v>19000000</c:v>
                </c:pt>
                <c:pt idx="1">
                  <c:v>15000000</c:v>
                </c:pt>
                <c:pt idx="2">
                  <c:v>11500000</c:v>
                </c:pt>
                <c:pt idx="3">
                  <c:v>10000000</c:v>
                </c:pt>
                <c:pt idx="4">
                  <c:v>8900000</c:v>
                </c:pt>
                <c:pt idx="5">
                  <c:v>8125000</c:v>
                </c:pt>
                <c:pt idx="6">
                  <c:v>7000000</c:v>
                </c:pt>
                <c:pt idx="7">
                  <c:v>6750000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38-437E-B2DD-BEBBE0532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50"/>
        <c:axId val="66942991"/>
        <c:axId val="67381871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Report!$B$1</c15:sqref>
                        </c15:formulaRef>
                      </c:ext>
                    </c:extLst>
                    <c:strCache>
                      <c:ptCount val="1"/>
                      <c:pt idx="0">
                        <c:v>Requested Budget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Report!$A$2:$A$9</c15:sqref>
                        </c15:formulaRef>
                      </c:ext>
                    </c:extLst>
                    <c:strCache>
                      <c:ptCount val="8"/>
                      <c:pt idx="0">
                        <c:v>Project - J</c:v>
                      </c:pt>
                      <c:pt idx="1">
                        <c:v>Project - E</c:v>
                      </c:pt>
                      <c:pt idx="2">
                        <c:v>Project - V</c:v>
                      </c:pt>
                      <c:pt idx="3">
                        <c:v>Project - K</c:v>
                      </c:pt>
                      <c:pt idx="4">
                        <c:v>Project - Z</c:v>
                      </c:pt>
                      <c:pt idx="5">
                        <c:v>Project - A</c:v>
                      </c:pt>
                      <c:pt idx="6">
                        <c:v>Project - H</c:v>
                      </c:pt>
                      <c:pt idx="7">
                        <c:v>Project - YY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Report!$B$2:$B$9</c15:sqref>
                        </c15:formulaRef>
                      </c:ext>
                    </c:extLst>
                    <c:numCache>
                      <c:formatCode>"$"0.00,,"M";[Red]\-"$"0.00,,"M";;@</c:formatCode>
                      <c:ptCount val="8"/>
                      <c:pt idx="0">
                        <c:v>18000000</c:v>
                      </c:pt>
                      <c:pt idx="1">
                        <c:v>9500000</c:v>
                      </c:pt>
                      <c:pt idx="2">
                        <c:v>10000000</c:v>
                      </c:pt>
                      <c:pt idx="3">
                        <c:v>6500000</c:v>
                      </c:pt>
                      <c:pt idx="4">
                        <c:v>5900000</c:v>
                      </c:pt>
                      <c:pt idx="5">
                        <c:v>6000000</c:v>
                      </c:pt>
                      <c:pt idx="6">
                        <c:v>3750000</c:v>
                      </c:pt>
                      <c:pt idx="7">
                        <c:v>4250000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EAF1-4876-8B5C-DDE9D0C68CEA}"/>
                  </c:ext>
                </c:extLst>
              </c15:ser>
            </c15:filteredBarSeries>
          </c:ext>
        </c:extLst>
      </c:barChart>
      <c:catAx>
        <c:axId val="66942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1871"/>
        <c:crosses val="autoZero"/>
        <c:auto val="1"/>
        <c:lblAlgn val="ctr"/>
        <c:lblOffset val="100"/>
        <c:noMultiLvlLbl val="0"/>
      </c:catAx>
      <c:valAx>
        <c:axId val="67381871"/>
        <c:scaling>
          <c:orientation val="minMax"/>
          <c:max val="20000000"/>
        </c:scaling>
        <c:delete val="0"/>
        <c:axPos val="l"/>
        <c:numFmt formatCode="&quot;$&quot;0.00,,&quot;M&quot;;[Red]\-&quot;$&quot;0.00,,&quot;M&quot;;;@" sourceLinked="1"/>
        <c:majorTickMark val="out"/>
        <c:minorTickMark val="none"/>
        <c:tickLblPos val="nextTo"/>
        <c:spPr>
          <a:noFill/>
          <a:ln>
            <a:solidFill>
              <a:schemeClr val="accen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2991"/>
        <c:crosses val="autoZero"/>
        <c:crossBetween val="between"/>
        <c:majorUnit val="2000000"/>
        <c:minorUnit val="6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55393994281063E-2"/>
          <c:y val="0.16397306397306399"/>
          <c:w val="0.88894535147962739"/>
          <c:h val="0.56157563637878594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Report!$D$1</c:f>
              <c:strCache>
                <c:ptCount val="1"/>
                <c:pt idx="0">
                  <c:v>Projected IRR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Report!$A$2:$A$9</c:f>
              <c:strCache>
                <c:ptCount val="8"/>
                <c:pt idx="0">
                  <c:v>Project - J</c:v>
                </c:pt>
                <c:pt idx="1">
                  <c:v>Project - E</c:v>
                </c:pt>
                <c:pt idx="2">
                  <c:v>Project - V</c:v>
                </c:pt>
                <c:pt idx="3">
                  <c:v>Project - K</c:v>
                </c:pt>
                <c:pt idx="4">
                  <c:v>Project - Z</c:v>
                </c:pt>
                <c:pt idx="5">
                  <c:v>Project - A</c:v>
                </c:pt>
                <c:pt idx="6">
                  <c:v>Project - H</c:v>
                </c:pt>
                <c:pt idx="7">
                  <c:v>Project - YY</c:v>
                </c:pt>
              </c:strCache>
            </c:strRef>
          </c:cat>
          <c:val>
            <c:numRef>
              <c:f>Report!$D$2:$D$9</c:f>
              <c:numCache>
                <c:formatCode>0.00%</c:formatCode>
                <c:ptCount val="8"/>
                <c:pt idx="0">
                  <c:v>0.17</c:v>
                </c:pt>
                <c:pt idx="1">
                  <c:v>0.65</c:v>
                </c:pt>
                <c:pt idx="2">
                  <c:v>0.14000000000000001</c:v>
                </c:pt>
                <c:pt idx="3">
                  <c:v>0.27500000000000002</c:v>
                </c:pt>
                <c:pt idx="4">
                  <c:v>0.76300000000000001</c:v>
                </c:pt>
                <c:pt idx="5">
                  <c:v>0.13</c:v>
                </c:pt>
                <c:pt idx="6">
                  <c:v>0.52749999999999997</c:v>
                </c:pt>
                <c:pt idx="7">
                  <c:v>0.19500000000000001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4A-4125-AB26-8AC3D64CA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50"/>
        <c:axId val="66942991"/>
        <c:axId val="67381871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Report!$B$1</c15:sqref>
                        </c15:formulaRef>
                      </c:ext>
                    </c:extLst>
                    <c:strCache>
                      <c:ptCount val="1"/>
                      <c:pt idx="0">
                        <c:v>Requested Budget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Report!$A$2:$A$9</c15:sqref>
                        </c15:formulaRef>
                      </c:ext>
                    </c:extLst>
                    <c:strCache>
                      <c:ptCount val="8"/>
                      <c:pt idx="0">
                        <c:v>Project - J</c:v>
                      </c:pt>
                      <c:pt idx="1">
                        <c:v>Project - E</c:v>
                      </c:pt>
                      <c:pt idx="2">
                        <c:v>Project - V</c:v>
                      </c:pt>
                      <c:pt idx="3">
                        <c:v>Project - K</c:v>
                      </c:pt>
                      <c:pt idx="4">
                        <c:v>Project - Z</c:v>
                      </c:pt>
                      <c:pt idx="5">
                        <c:v>Project - A</c:v>
                      </c:pt>
                      <c:pt idx="6">
                        <c:v>Project - H</c:v>
                      </c:pt>
                      <c:pt idx="7">
                        <c:v>Project - YY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Report!$B$2:$B$9</c15:sqref>
                        </c15:formulaRef>
                      </c:ext>
                    </c:extLst>
                    <c:numCache>
                      <c:formatCode>"$"0.00,,"M";[Red]\-"$"0.00,,"M";;@</c:formatCode>
                      <c:ptCount val="8"/>
                      <c:pt idx="0">
                        <c:v>18000000</c:v>
                      </c:pt>
                      <c:pt idx="1">
                        <c:v>9500000</c:v>
                      </c:pt>
                      <c:pt idx="2">
                        <c:v>10000000</c:v>
                      </c:pt>
                      <c:pt idx="3">
                        <c:v>6500000</c:v>
                      </c:pt>
                      <c:pt idx="4">
                        <c:v>5900000</c:v>
                      </c:pt>
                      <c:pt idx="5">
                        <c:v>6000000</c:v>
                      </c:pt>
                      <c:pt idx="6">
                        <c:v>3750000</c:v>
                      </c:pt>
                      <c:pt idx="7">
                        <c:v>4250000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E85-45F4-8C4D-A8B6C94B14EA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Report!$C$1</c15:sqref>
                        </c15:formulaRef>
                      </c:ext>
                    </c:extLst>
                    <c:strCache>
                      <c:ptCount val="1"/>
                      <c:pt idx="0">
                        <c:v>Projected NPV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solidFill>
                      <a:schemeClr val="accent1">
                        <a:lumMod val="50000"/>
                      </a:schemeClr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Report!$A$2:$A$9</c15:sqref>
                        </c15:formulaRef>
                      </c:ext>
                    </c:extLst>
                    <c:strCache>
                      <c:ptCount val="8"/>
                      <c:pt idx="0">
                        <c:v>Project - J</c:v>
                      </c:pt>
                      <c:pt idx="1">
                        <c:v>Project - E</c:v>
                      </c:pt>
                      <c:pt idx="2">
                        <c:v>Project - V</c:v>
                      </c:pt>
                      <c:pt idx="3">
                        <c:v>Project - K</c:v>
                      </c:pt>
                      <c:pt idx="4">
                        <c:v>Project - Z</c:v>
                      </c:pt>
                      <c:pt idx="5">
                        <c:v>Project - A</c:v>
                      </c:pt>
                      <c:pt idx="6">
                        <c:v>Project - H</c:v>
                      </c:pt>
                      <c:pt idx="7">
                        <c:v>Project - YY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Report!$C$2:$C$9</c15:sqref>
                        </c15:formulaRef>
                      </c:ext>
                    </c:extLst>
                    <c:numCache>
                      <c:formatCode>"$"0.00,,"M";[Red]\-"$"0.00,,"M";;@</c:formatCode>
                      <c:ptCount val="8"/>
                      <c:pt idx="0">
                        <c:v>19000000</c:v>
                      </c:pt>
                      <c:pt idx="1">
                        <c:v>15000000</c:v>
                      </c:pt>
                      <c:pt idx="2">
                        <c:v>11500000</c:v>
                      </c:pt>
                      <c:pt idx="3">
                        <c:v>10000000</c:v>
                      </c:pt>
                      <c:pt idx="4">
                        <c:v>8900000</c:v>
                      </c:pt>
                      <c:pt idx="5">
                        <c:v>8125000</c:v>
                      </c:pt>
                      <c:pt idx="6">
                        <c:v>7000000</c:v>
                      </c:pt>
                      <c:pt idx="7">
                        <c:v>6750000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324A-4125-AB26-8AC3D64CA848}"/>
                  </c:ext>
                </c:extLst>
              </c15:ser>
            </c15:filteredBarSeries>
          </c:ext>
        </c:extLst>
      </c:barChart>
      <c:catAx>
        <c:axId val="66942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1871"/>
        <c:crosses val="autoZero"/>
        <c:auto val="1"/>
        <c:lblAlgn val="ctr"/>
        <c:lblOffset val="100"/>
        <c:noMultiLvlLbl val="0"/>
      </c:catAx>
      <c:valAx>
        <c:axId val="67381871"/>
        <c:scaling>
          <c:orientation val="minMax"/>
          <c:max val="1"/>
          <c:min val="0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solidFill>
              <a:schemeClr val="accen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2991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</xdr:row>
          <xdr:rowOff>0</xdr:rowOff>
        </xdr:from>
        <xdr:to>
          <xdr:col>2</xdr:col>
          <xdr:colOff>333375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Screen by IRR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171450</xdr:rowOff>
        </xdr:from>
        <xdr:to>
          <xdr:col>2</xdr:col>
          <xdr:colOff>333375</xdr:colOff>
          <xdr:row>7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Screen by NPV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8</xdr:row>
      <xdr:rowOff>135256</xdr:rowOff>
    </xdr:from>
    <xdr:to>
      <xdr:col>9</xdr:col>
      <xdr:colOff>371475</xdr:colOff>
      <xdr:row>23</xdr:row>
      <xdr:rowOff>38101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24</xdr:row>
      <xdr:rowOff>43815</xdr:rowOff>
    </xdr:from>
    <xdr:to>
      <xdr:col>9</xdr:col>
      <xdr:colOff>400050</xdr:colOff>
      <xdr:row>38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10</xdr:row>
          <xdr:rowOff>85725</xdr:rowOff>
        </xdr:from>
        <xdr:to>
          <xdr:col>11</xdr:col>
          <xdr:colOff>561975</xdr:colOff>
          <xdr:row>13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Chart area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C568-50F7-42B7-8753-CDB1CA6678FF}">
  <sheetPr codeName="Sheet5">
    <tabColor theme="0"/>
  </sheetPr>
  <dimension ref="B2:D11"/>
  <sheetViews>
    <sheetView showGridLines="0" workbookViewId="0"/>
  </sheetViews>
  <sheetFormatPr defaultRowHeight="15" x14ac:dyDescent="0.25"/>
  <cols>
    <col min="1" max="1" width="2.7109375" customWidth="1"/>
    <col min="2" max="2" width="13.140625" bestFit="1" customWidth="1"/>
    <col min="3" max="3" width="2.7109375" customWidth="1"/>
    <col min="4" max="4" width="9.7109375" bestFit="1" customWidth="1"/>
  </cols>
  <sheetData>
    <row r="2" spans="2:4" x14ac:dyDescent="0.25">
      <c r="B2" s="28" t="s">
        <v>30</v>
      </c>
      <c r="D2" t="s">
        <v>31</v>
      </c>
    </row>
    <row r="4" spans="2:4" x14ac:dyDescent="0.25">
      <c r="B4" s="28" t="s">
        <v>32</v>
      </c>
      <c r="C4" s="34">
        <v>1</v>
      </c>
      <c r="D4" s="33" t="s">
        <v>33</v>
      </c>
    </row>
    <row r="5" spans="2:4" x14ac:dyDescent="0.25">
      <c r="C5" s="35">
        <f>C4+1</f>
        <v>2</v>
      </c>
      <c r="D5" t="s">
        <v>34</v>
      </c>
    </row>
    <row r="6" spans="2:4" x14ac:dyDescent="0.25">
      <c r="C6" s="35">
        <f>C5+1</f>
        <v>3</v>
      </c>
      <c r="D6" t="s">
        <v>35</v>
      </c>
    </row>
    <row r="7" spans="2:4" x14ac:dyDescent="0.25">
      <c r="C7" s="35">
        <f>C6+1</f>
        <v>4</v>
      </c>
      <c r="D7" t="s">
        <v>36</v>
      </c>
    </row>
    <row r="10" spans="2:4" x14ac:dyDescent="0.25">
      <c r="B10" s="28" t="s">
        <v>27</v>
      </c>
      <c r="D10" t="s">
        <v>28</v>
      </c>
    </row>
    <row r="11" spans="2:4" x14ac:dyDescent="0.25">
      <c r="B11" s="28" t="s">
        <v>29</v>
      </c>
      <c r="C11" s="36"/>
      <c r="D11" s="36">
        <v>45278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4D9CF-5FA5-42EE-A161-ACEC092B6EB5}">
  <sheetPr codeName="Sheet1">
    <tabColor theme="9" tint="0.59999389629810485"/>
  </sheetPr>
  <dimension ref="E3:F7"/>
  <sheetViews>
    <sheetView tabSelected="1" workbookViewId="0"/>
  </sheetViews>
  <sheetFormatPr defaultColWidth="8.85546875" defaultRowHeight="15" x14ac:dyDescent="0.25"/>
  <cols>
    <col min="1" max="1" width="3.28515625" style="1" customWidth="1"/>
    <col min="2" max="2" width="12.140625" style="1" customWidth="1"/>
    <col min="3" max="4" width="8.85546875" style="1"/>
    <col min="5" max="5" width="21.85546875" style="1" bestFit="1" customWidth="1"/>
    <col min="6" max="6" width="11.42578125" style="1" customWidth="1"/>
    <col min="7" max="16384" width="8.85546875" style="1"/>
  </cols>
  <sheetData>
    <row r="3" spans="5:6" x14ac:dyDescent="0.25">
      <c r="E3" s="16" t="s">
        <v>22</v>
      </c>
      <c r="F3" s="17">
        <f>COUNTA(Report!A:A)-1</f>
        <v>8</v>
      </c>
    </row>
    <row r="4" spans="5:6" x14ac:dyDescent="0.25">
      <c r="E4" s="18" t="s">
        <v>23</v>
      </c>
      <c r="F4" s="19">
        <f>SUM(Report!B:B)</f>
        <v>63900000</v>
      </c>
    </row>
    <row r="5" spans="5:6" x14ac:dyDescent="0.25">
      <c r="E5" s="18" t="s">
        <v>24</v>
      </c>
      <c r="F5" s="19">
        <f>SUM(Report!C:C)</f>
        <v>86275000</v>
      </c>
    </row>
    <row r="6" spans="5:6" x14ac:dyDescent="0.25">
      <c r="E6" s="20" t="s">
        <v>25</v>
      </c>
      <c r="F6" s="19">
        <f>IFERROR(AVERAGE(Report!C:C),"")</f>
        <v>10784375</v>
      </c>
    </row>
    <row r="7" spans="5:6" x14ac:dyDescent="0.25">
      <c r="E7" s="21" t="s">
        <v>26</v>
      </c>
      <c r="F7" s="22">
        <f>IFERROR(AVERAGE(Report!D:D),"")</f>
        <v>0.35631249999999998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IRR">
                <anchor moveWithCells="1" sizeWithCells="1">
                  <from>
                    <xdr:col>0</xdr:col>
                    <xdr:colOff>447675</xdr:colOff>
                    <xdr:row>1</xdr:row>
                    <xdr:rowOff>0</xdr:rowOff>
                  </from>
                  <to>
                    <xdr:col>2</xdr:col>
                    <xdr:colOff>333375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NPV">
                <anchor moveWithCells="1" sizeWithCells="1">
                  <from>
                    <xdr:col>0</xdr:col>
                    <xdr:colOff>228600</xdr:colOff>
                    <xdr:row>4</xdr:row>
                    <xdr:rowOff>171450</xdr:rowOff>
                  </from>
                  <to>
                    <xdr:col>2</xdr:col>
                    <xdr:colOff>333375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arCharts">
                <anchor moveWithCells="1" sizeWithCells="1">
                  <from>
                    <xdr:col>10</xdr:col>
                    <xdr:colOff>19050</xdr:colOff>
                    <xdr:row>10</xdr:row>
                    <xdr:rowOff>85725</xdr:rowOff>
                  </from>
                  <to>
                    <xdr:col>11</xdr:col>
                    <xdr:colOff>561975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1C82E-21CB-4B53-9150-5C9AACA339F1}">
  <sheetPr codeName="Sheet2">
    <tabColor theme="8" tint="0.39997558519241921"/>
  </sheetPr>
  <dimension ref="A1:G16"/>
  <sheetViews>
    <sheetView workbookViewId="0"/>
  </sheetViews>
  <sheetFormatPr defaultColWidth="8.85546875" defaultRowHeight="15" x14ac:dyDescent="0.25"/>
  <cols>
    <col min="1" max="1" width="10.5703125" style="3" bestFit="1" customWidth="1"/>
    <col min="2" max="2" width="17.140625" style="3" bestFit="1" customWidth="1"/>
    <col min="3" max="3" width="13.5703125" style="3" bestFit="1" customWidth="1"/>
    <col min="4" max="4" width="12.42578125" style="3" bestFit="1" customWidth="1"/>
    <col min="5" max="5" width="13.5703125" style="3" customWidth="1"/>
    <col min="6" max="6" width="10.7109375" style="3" bestFit="1" customWidth="1"/>
    <col min="7" max="7" width="11.7109375" style="3" bestFit="1" customWidth="1"/>
    <col min="8" max="16384" width="8.85546875" style="1"/>
  </cols>
  <sheetData>
    <row r="1" spans="1:7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5">
      <c r="A2" s="3" t="s">
        <v>15</v>
      </c>
      <c r="B2" s="4">
        <v>18000000</v>
      </c>
      <c r="C2" s="15">
        <v>19000000</v>
      </c>
      <c r="D2" s="14">
        <v>0.17</v>
      </c>
      <c r="E2" s="6"/>
      <c r="F2" s="6"/>
      <c r="G2" s="7"/>
    </row>
    <row r="3" spans="1:7" x14ac:dyDescent="0.25">
      <c r="A3" s="3" t="s">
        <v>18</v>
      </c>
      <c r="B3" s="4">
        <v>9500000</v>
      </c>
      <c r="C3" s="15">
        <v>15000000</v>
      </c>
      <c r="D3" s="14">
        <v>0.65</v>
      </c>
      <c r="E3" s="6"/>
      <c r="F3" s="6"/>
      <c r="G3" s="7"/>
    </row>
    <row r="4" spans="1:7" x14ac:dyDescent="0.25">
      <c r="A4" s="3" t="s">
        <v>19</v>
      </c>
      <c r="B4" s="4">
        <v>10000000</v>
      </c>
      <c r="C4" s="15">
        <v>11500000</v>
      </c>
      <c r="D4" s="14">
        <v>0.14000000000000001</v>
      </c>
      <c r="E4" s="6"/>
      <c r="F4" s="6"/>
      <c r="G4" s="7"/>
    </row>
    <row r="5" spans="1:7" x14ac:dyDescent="0.25">
      <c r="A5" s="3" t="s">
        <v>16</v>
      </c>
      <c r="B5" s="4">
        <v>6500000</v>
      </c>
      <c r="C5" s="15">
        <v>10000000</v>
      </c>
      <c r="D5" s="14">
        <v>0.27500000000000002</v>
      </c>
      <c r="E5" s="6"/>
      <c r="F5" s="6"/>
      <c r="G5" s="7"/>
    </row>
    <row r="6" spans="1:7" x14ac:dyDescent="0.25">
      <c r="A6" s="3" t="s">
        <v>12</v>
      </c>
      <c r="B6" s="4">
        <v>5900000</v>
      </c>
      <c r="C6" s="15">
        <v>8900000</v>
      </c>
      <c r="D6" s="14">
        <v>0.76300000000000001</v>
      </c>
      <c r="E6" s="6">
        <v>43891</v>
      </c>
      <c r="F6" s="6">
        <v>44180</v>
      </c>
      <c r="G6" s="7">
        <v>9.4666666666666668</v>
      </c>
    </row>
    <row r="7" spans="1:7" x14ac:dyDescent="0.25">
      <c r="A7" s="3" t="s">
        <v>7</v>
      </c>
      <c r="B7" s="4">
        <v>6000000</v>
      </c>
      <c r="C7" s="15">
        <v>8125000</v>
      </c>
      <c r="D7" s="14">
        <v>0.13</v>
      </c>
      <c r="E7" s="6">
        <v>44013</v>
      </c>
      <c r="F7" s="6">
        <v>44196</v>
      </c>
      <c r="G7" s="7">
        <v>6</v>
      </c>
    </row>
    <row r="8" spans="1:7" x14ac:dyDescent="0.25">
      <c r="A8" s="3" t="s">
        <v>14</v>
      </c>
      <c r="B8" s="4">
        <v>3750000</v>
      </c>
      <c r="C8" s="15">
        <v>7000000</v>
      </c>
      <c r="D8" s="14">
        <v>0.52749999999999997</v>
      </c>
      <c r="E8" s="6"/>
      <c r="F8" s="6"/>
      <c r="G8" s="7"/>
    </row>
    <row r="9" spans="1:7" x14ac:dyDescent="0.25">
      <c r="A9" s="3" t="s">
        <v>21</v>
      </c>
      <c r="B9" s="4">
        <v>4250000</v>
      </c>
      <c r="C9" s="15">
        <v>6750000</v>
      </c>
      <c r="D9" s="14">
        <v>0.19500000000000001</v>
      </c>
      <c r="E9" s="6"/>
      <c r="F9" s="6"/>
      <c r="G9" s="7"/>
    </row>
    <row r="16" spans="1:7" x14ac:dyDescent="0.25">
      <c r="B16" s="4"/>
      <c r="C16" s="4"/>
      <c r="D16" s="5"/>
      <c r="E16" s="6"/>
      <c r="F16" s="6"/>
      <c r="G16" s="7"/>
    </row>
  </sheetData>
  <sortState xmlns:xlrd2="http://schemas.microsoft.com/office/spreadsheetml/2017/richdata2" ref="A2:G9">
    <sortCondition descending="1" ref="C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11CCA-910A-4466-AE74-3728C6371A94}">
  <sheetPr codeName="Sheet3">
    <tabColor rgb="FFF09797"/>
  </sheetPr>
  <dimension ref="A1:G21"/>
  <sheetViews>
    <sheetView workbookViewId="0"/>
  </sheetViews>
  <sheetFormatPr defaultColWidth="8.85546875" defaultRowHeight="15" x14ac:dyDescent="0.25"/>
  <cols>
    <col min="1" max="1" width="10.5703125" style="1" bestFit="1" customWidth="1"/>
    <col min="2" max="2" width="17.140625" style="1" bestFit="1" customWidth="1"/>
    <col min="3" max="3" width="16.28515625" style="1" customWidth="1"/>
    <col min="4" max="4" width="12.42578125" style="1" bestFit="1" customWidth="1"/>
    <col min="5" max="5" width="9.42578125" style="1" bestFit="1" customWidth="1"/>
    <col min="6" max="6" width="10.5703125" style="1" bestFit="1" customWidth="1"/>
    <col min="7" max="7" width="11.7109375" style="1" bestFit="1" customWidth="1"/>
    <col min="8" max="16384" width="8.85546875" style="1"/>
  </cols>
  <sheetData>
    <row r="1" spans="1:7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</row>
    <row r="2" spans="1:7" x14ac:dyDescent="0.25">
      <c r="A2" s="1" t="s">
        <v>7</v>
      </c>
      <c r="B2" s="9">
        <v>6000000</v>
      </c>
      <c r="C2" s="9">
        <v>8125000</v>
      </c>
      <c r="D2" s="10">
        <v>0.13</v>
      </c>
      <c r="E2" s="11">
        <v>44013</v>
      </c>
      <c r="F2" s="11">
        <v>44196</v>
      </c>
      <c r="G2" s="12">
        <f>YEARFRAC(E2,F2)*12</f>
        <v>6</v>
      </c>
    </row>
    <row r="3" spans="1:7" x14ac:dyDescent="0.25">
      <c r="A3" s="1" t="s">
        <v>8</v>
      </c>
      <c r="B3" s="9">
        <v>5000000</v>
      </c>
      <c r="C3" s="9">
        <v>6250000</v>
      </c>
      <c r="D3" s="10">
        <v>0.221</v>
      </c>
      <c r="E3" s="11">
        <v>44044</v>
      </c>
      <c r="F3" s="11">
        <v>44135</v>
      </c>
      <c r="G3" s="12">
        <f t="shared" ref="G3:G7" si="0">YEARFRAC(E3,F3)*12</f>
        <v>3</v>
      </c>
    </row>
    <row r="4" spans="1:7" x14ac:dyDescent="0.25">
      <c r="A4" s="1" t="s">
        <v>9</v>
      </c>
      <c r="B4" s="9">
        <v>15000000</v>
      </c>
      <c r="C4" s="9">
        <v>2500000</v>
      </c>
      <c r="D4" s="10">
        <v>9.0999999999999998E-2</v>
      </c>
      <c r="E4" s="11">
        <v>44013</v>
      </c>
      <c r="F4" s="11">
        <v>44150</v>
      </c>
      <c r="G4" s="12">
        <f t="shared" si="0"/>
        <v>4.4666666666666668</v>
      </c>
    </row>
    <row r="5" spans="1:7" x14ac:dyDescent="0.25">
      <c r="A5" s="1" t="s">
        <v>10</v>
      </c>
      <c r="B5" s="9">
        <v>12500000</v>
      </c>
      <c r="C5" s="9">
        <f>-1250000</f>
        <v>-1250000</v>
      </c>
      <c r="D5" s="10">
        <v>0.03</v>
      </c>
      <c r="E5" s="11">
        <v>44075</v>
      </c>
      <c r="F5" s="11">
        <v>44119</v>
      </c>
      <c r="G5" s="12">
        <f t="shared" si="0"/>
        <v>1.4666666666666666</v>
      </c>
    </row>
    <row r="6" spans="1:7" x14ac:dyDescent="0.25">
      <c r="A6" s="1" t="s">
        <v>11</v>
      </c>
      <c r="B6" s="9">
        <v>1000000</v>
      </c>
      <c r="C6" s="9">
        <v>3500000</v>
      </c>
      <c r="D6" s="10">
        <v>0.44</v>
      </c>
      <c r="E6" s="11">
        <v>43997</v>
      </c>
      <c r="F6" s="11">
        <v>44150</v>
      </c>
      <c r="G6" s="12">
        <f t="shared" si="0"/>
        <v>5</v>
      </c>
    </row>
    <row r="7" spans="1:7" x14ac:dyDescent="0.25">
      <c r="A7" s="1" t="s">
        <v>12</v>
      </c>
      <c r="B7" s="9">
        <v>5900000</v>
      </c>
      <c r="C7" s="9">
        <v>8900000</v>
      </c>
      <c r="D7" s="10">
        <v>0.76300000000000001</v>
      </c>
      <c r="E7" s="11">
        <v>43891</v>
      </c>
      <c r="F7" s="11">
        <v>44180</v>
      </c>
      <c r="G7" s="12">
        <f t="shared" si="0"/>
        <v>9.4666666666666668</v>
      </c>
    </row>
    <row r="8" spans="1:7" x14ac:dyDescent="0.25">
      <c r="A8" s="1" t="s">
        <v>13</v>
      </c>
      <c r="B8" s="9">
        <v>4675000</v>
      </c>
      <c r="C8" s="9">
        <v>2000000</v>
      </c>
      <c r="D8" s="10">
        <v>8.5000000000000006E-2</v>
      </c>
      <c r="E8" s="11"/>
      <c r="F8" s="11"/>
      <c r="G8" s="12"/>
    </row>
    <row r="9" spans="1:7" x14ac:dyDescent="0.25">
      <c r="A9" s="1" t="s">
        <v>14</v>
      </c>
      <c r="B9" s="9">
        <v>3750000</v>
      </c>
      <c r="C9" s="9">
        <v>7000000</v>
      </c>
      <c r="D9" s="10">
        <v>0.52749999999999997</v>
      </c>
      <c r="E9" s="11"/>
      <c r="F9" s="11"/>
      <c r="G9" s="12"/>
    </row>
    <row r="10" spans="1:7" x14ac:dyDescent="0.25">
      <c r="A10" s="1" t="s">
        <v>15</v>
      </c>
      <c r="B10" s="9">
        <v>18000000</v>
      </c>
      <c r="C10" s="9">
        <v>19000000</v>
      </c>
      <c r="D10" s="10">
        <v>0.17</v>
      </c>
      <c r="E10" s="11"/>
      <c r="F10" s="11"/>
      <c r="G10" s="12"/>
    </row>
    <row r="11" spans="1:7" x14ac:dyDescent="0.25">
      <c r="A11" s="1" t="s">
        <v>16</v>
      </c>
      <c r="B11" s="9">
        <v>6500000</v>
      </c>
      <c r="C11" s="9">
        <v>10000000</v>
      </c>
      <c r="D11" s="10">
        <v>0.27500000000000002</v>
      </c>
      <c r="E11" s="11"/>
      <c r="F11" s="11"/>
      <c r="G11" s="12"/>
    </row>
    <row r="12" spans="1:7" x14ac:dyDescent="0.25">
      <c r="A12" s="1" t="s">
        <v>17</v>
      </c>
      <c r="B12" s="9">
        <v>3250000</v>
      </c>
      <c r="C12" s="9">
        <f>-500000</f>
        <v>-500000</v>
      </c>
      <c r="D12" s="10">
        <f>-1.5%</f>
        <v>-1.4999999999999999E-2</v>
      </c>
      <c r="E12" s="11"/>
      <c r="F12" s="11"/>
      <c r="G12" s="12"/>
    </row>
    <row r="13" spans="1:7" x14ac:dyDescent="0.25">
      <c r="A13" s="1" t="s">
        <v>16</v>
      </c>
      <c r="B13" s="9">
        <v>1750000</v>
      </c>
      <c r="C13" s="9">
        <v>4000000</v>
      </c>
      <c r="D13" s="10">
        <v>0.72</v>
      </c>
      <c r="E13" s="11"/>
      <c r="F13" s="11"/>
      <c r="G13" s="12"/>
    </row>
    <row r="14" spans="1:7" x14ac:dyDescent="0.25">
      <c r="A14" s="1" t="s">
        <v>18</v>
      </c>
      <c r="B14" s="9">
        <v>9500000</v>
      </c>
      <c r="C14" s="9">
        <v>15000000</v>
      </c>
      <c r="D14" s="10">
        <v>0.65</v>
      </c>
      <c r="E14" s="11"/>
      <c r="F14" s="11"/>
      <c r="G14" s="12"/>
    </row>
    <row r="15" spans="1:7" x14ac:dyDescent="0.25">
      <c r="A15" s="1" t="s">
        <v>19</v>
      </c>
      <c r="B15" s="9">
        <v>10000000</v>
      </c>
      <c r="C15" s="9">
        <v>11500000</v>
      </c>
      <c r="D15" s="10">
        <v>0.14000000000000001</v>
      </c>
      <c r="E15" s="11"/>
      <c r="F15" s="11"/>
      <c r="G15" s="12"/>
    </row>
    <row r="16" spans="1:7" x14ac:dyDescent="0.25">
      <c r="A16" s="1" t="s">
        <v>20</v>
      </c>
      <c r="B16" s="9">
        <v>7500000</v>
      </c>
      <c r="C16" s="9">
        <v>4750000</v>
      </c>
      <c r="D16" s="10">
        <v>7.4999999999999997E-2</v>
      </c>
      <c r="E16" s="11"/>
      <c r="F16" s="11"/>
      <c r="G16" s="12"/>
    </row>
    <row r="17" spans="1:7" x14ac:dyDescent="0.25">
      <c r="A17" s="1" t="s">
        <v>21</v>
      </c>
      <c r="B17" s="9">
        <v>4250000</v>
      </c>
      <c r="C17" s="9">
        <v>6750000</v>
      </c>
      <c r="D17" s="10">
        <v>0.19500000000000001</v>
      </c>
      <c r="E17" s="11"/>
      <c r="F17" s="11"/>
      <c r="G17" s="12"/>
    </row>
    <row r="18" spans="1:7" x14ac:dyDescent="0.25">
      <c r="B18" s="13"/>
      <c r="C18" s="13"/>
      <c r="D18" s="10"/>
    </row>
    <row r="19" spans="1:7" x14ac:dyDescent="0.25">
      <c r="B19" s="13"/>
      <c r="C19" s="13"/>
    </row>
    <row r="20" spans="1:7" x14ac:dyDescent="0.25">
      <c r="B20" s="13"/>
      <c r="C20" s="13"/>
    </row>
    <row r="21" spans="1:7" x14ac:dyDescent="0.25">
      <c r="C21" s="1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1B410-656A-4B26-8F56-FF32BB08D83C}">
  <sheetPr codeName="Sheet4"/>
  <dimension ref="A1:G4"/>
  <sheetViews>
    <sheetView workbookViewId="0"/>
  </sheetViews>
  <sheetFormatPr defaultRowHeight="15" x14ac:dyDescent="0.25"/>
  <cols>
    <col min="1" max="1" width="10.140625" bestFit="1" customWidth="1"/>
    <col min="2" max="2" width="17.5703125" bestFit="1" customWidth="1"/>
    <col min="3" max="3" width="14" bestFit="1" customWidth="1"/>
    <col min="4" max="4" width="12.85546875" bestFit="1" customWidth="1"/>
    <col min="5" max="5" width="9.7109375" bestFit="1" customWidth="1"/>
    <col min="6" max="6" width="10.7109375" bestFit="1" customWidth="1"/>
    <col min="7" max="7" width="11.7109375" bestFit="1" customWidth="1"/>
  </cols>
  <sheetData>
    <row r="1" spans="1:7" x14ac:dyDescent="0.25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</row>
    <row r="2" spans="1:7" x14ac:dyDescent="0.25">
      <c r="A2" s="28" t="s">
        <v>7</v>
      </c>
      <c r="B2" s="29">
        <v>6000000</v>
      </c>
      <c r="C2" s="29">
        <v>8125000</v>
      </c>
      <c r="D2" s="30">
        <v>0.13</v>
      </c>
      <c r="E2" s="31">
        <v>44013</v>
      </c>
      <c r="F2" s="31">
        <v>44196</v>
      </c>
      <c r="G2" s="32">
        <f>YEARFRAC(E2,F2)*12</f>
        <v>6</v>
      </c>
    </row>
    <row r="3" spans="1:7" x14ac:dyDescent="0.25">
      <c r="A3" s="28" t="s">
        <v>7</v>
      </c>
      <c r="B3" s="29">
        <v>6000000</v>
      </c>
      <c r="C3" s="29">
        <v>8125000</v>
      </c>
      <c r="D3" s="30">
        <v>0.13</v>
      </c>
      <c r="E3" s="31">
        <v>44013</v>
      </c>
      <c r="F3" s="31">
        <v>44196</v>
      </c>
      <c r="G3" s="32">
        <f>YEARFRAC(E3,F3)*12</f>
        <v>6</v>
      </c>
    </row>
    <row r="4" spans="1:7" x14ac:dyDescent="0.25">
      <c r="A4" t="s">
        <v>7</v>
      </c>
      <c r="B4" s="23">
        <v>6000000</v>
      </c>
      <c r="C4" s="23">
        <v>8125000</v>
      </c>
      <c r="D4" s="24">
        <v>0.13</v>
      </c>
      <c r="E4" s="25">
        <v>44013</v>
      </c>
      <c r="F4" s="25">
        <v>44196</v>
      </c>
      <c r="G4" s="26">
        <f>YEARFRAC(E4,F4)*12</f>
        <v>6</v>
      </c>
    </row>
  </sheetData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C8BD163576C643B35B9B7B7725EE9E" ma:contentTypeVersion="12" ma:contentTypeDescription="Create a new document." ma:contentTypeScope="" ma:versionID="10f99bc113f4342f4b27feb9f728afda">
  <xsd:schema xmlns:xsd="http://www.w3.org/2001/XMLSchema" xmlns:xs="http://www.w3.org/2001/XMLSchema" xmlns:p="http://schemas.microsoft.com/office/2006/metadata/properties" xmlns:ns3="7638439b-cfd8-40d5-ba62-7a8a811f2104" xmlns:ns4="8827df5f-1b01-414a-adbf-bdc88573e463" targetNamespace="http://schemas.microsoft.com/office/2006/metadata/properties" ma:root="true" ma:fieldsID="3573f8645461b7f86277d2d0f5ca31e4" ns3:_="" ns4:_="">
    <xsd:import namespace="7638439b-cfd8-40d5-ba62-7a8a811f2104"/>
    <xsd:import namespace="8827df5f-1b01-414a-adbf-bdc88573e46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38439b-cfd8-40d5-ba62-7a8a811f210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27df5f-1b01-414a-adbf-bdc88573e46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772A374-3738-42B0-80EF-279AA563ACE2}">
  <ds:schemaRefs>
    <ds:schemaRef ds:uri="http://purl.org/dc/dcmitype/"/>
    <ds:schemaRef ds:uri="http://schemas.microsoft.com/office/2006/documentManagement/types"/>
    <ds:schemaRef ds:uri="8827df5f-1b01-414a-adbf-bdc88573e463"/>
    <ds:schemaRef ds:uri="7638439b-cfd8-40d5-ba62-7a8a811f2104"/>
    <ds:schemaRef ds:uri="http://schemas.microsoft.com/office/2006/metadata/properties"/>
    <ds:schemaRef ds:uri="http://www.w3.org/XML/1998/namespace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B3DC4358-9E50-40A0-91C4-61608548BA2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7CFA961-B3B9-4945-BDAB-75CED7C3AA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38439b-cfd8-40d5-ba62-7a8a811f2104"/>
    <ds:schemaRef ds:uri="8827df5f-1b01-414a-adbf-bdc88573e4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</vt:lpstr>
      <vt:lpstr>Dashboard</vt:lpstr>
      <vt:lpstr>Report</vt:lpstr>
      <vt:lpstr>Data</vt:lpstr>
      <vt:lpstr>LR_LC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Merline, Will</dc:creator>
  <cp:lastModifiedBy>Will Merline</cp:lastModifiedBy>
  <dcterms:created xsi:type="dcterms:W3CDTF">2020-07-07T12:59:23Z</dcterms:created>
  <dcterms:modified xsi:type="dcterms:W3CDTF">2023-12-18T20:44:49Z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0x010100B7C8BD163576C643B35B9B7B7725EE9E</vt:lpwstr>
  </property>
</Properties>
</file>